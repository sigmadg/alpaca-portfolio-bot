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Plan de Aportes" sheetId="2" r:id="rId5"/>
    <sheet state="visible" name="Distribución de Cartera" sheetId="3" r:id="rId6"/>
    <sheet state="visible" name="Análisis Mensual" sheetId="4" r:id="rId7"/>
    <sheet state="visible" name="Proyección Anual" sheetId="5" r:id="rId8"/>
    <sheet state="visible" name="Métricas de Riesgo" sheetId="6" r:id="rId9"/>
  </sheets>
  <definedNames/>
  <calcPr/>
</workbook>
</file>

<file path=xl/sharedStrings.xml><?xml version="1.0" encoding="utf-8"?>
<sst xmlns="http://schemas.openxmlformats.org/spreadsheetml/2006/main" count="130" uniqueCount="97">
  <si>
    <t>Mes</t>
  </si>
  <si>
    <t>Inversión</t>
  </si>
  <si>
    <t>Total</t>
  </si>
  <si>
    <t>Retorno</t>
  </si>
  <si>
    <t>Inversión fija</t>
  </si>
  <si>
    <t>Fecha</t>
  </si>
  <si>
    <t>Quincena</t>
  </si>
  <si>
    <t>Aporte Quincenal</t>
  </si>
  <si>
    <t>Aportes Acumulados</t>
  </si>
  <si>
    <t>Capital Acumulado</t>
  </si>
  <si>
    <t>Ganancia</t>
  </si>
  <si>
    <t>Rendimiento %</t>
  </si>
  <si>
    <t>Año</t>
  </si>
  <si>
    <t>2026-01-01</t>
  </si>
  <si>
    <t>2026-01</t>
  </si>
  <si>
    <t>2026-01-16</t>
  </si>
  <si>
    <t>2026-01-31</t>
  </si>
  <si>
    <t>2026-02-15</t>
  </si>
  <si>
    <t>2026-02</t>
  </si>
  <si>
    <t>2026-03-02</t>
  </si>
  <si>
    <t>2026-03</t>
  </si>
  <si>
    <t>2026-03-17</t>
  </si>
  <si>
    <t>2026-04-01</t>
  </si>
  <si>
    <t>2026-04</t>
  </si>
  <si>
    <t>2026-04-16</t>
  </si>
  <si>
    <t>2026-05-01</t>
  </si>
  <si>
    <t>2026-05</t>
  </si>
  <si>
    <t>2026-05-16</t>
  </si>
  <si>
    <t>2026-05-31</t>
  </si>
  <si>
    <t>2026-06-15</t>
  </si>
  <si>
    <t>2026-06</t>
  </si>
  <si>
    <t>2026-06-30</t>
  </si>
  <si>
    <t>2026-07-15</t>
  </si>
  <si>
    <t>2026-07</t>
  </si>
  <si>
    <t>2026-07-30</t>
  </si>
  <si>
    <t>2026-08-14</t>
  </si>
  <si>
    <t>2026-08</t>
  </si>
  <si>
    <t>2026-08-29</t>
  </si>
  <si>
    <t>2026-09-13</t>
  </si>
  <si>
    <t>2026-09</t>
  </si>
  <si>
    <t>2026-09-28</t>
  </si>
  <si>
    <t>2026-10-13</t>
  </si>
  <si>
    <t>2026-10</t>
  </si>
  <si>
    <t>2026-10-28</t>
  </si>
  <si>
    <t>2026-11-12</t>
  </si>
  <si>
    <t>2026-11</t>
  </si>
  <si>
    <t>2026-11-27</t>
  </si>
  <si>
    <t>2026-12-12</t>
  </si>
  <si>
    <t>2026-12</t>
  </si>
  <si>
    <t>Activo</t>
  </si>
  <si>
    <t>Nombre</t>
  </si>
  <si>
    <t>Peso %</t>
  </si>
  <si>
    <t>Inversión (Año 1)</t>
  </si>
  <si>
    <t>Rendimiento Anual %</t>
  </si>
  <si>
    <t>AAPL</t>
  </si>
  <si>
    <t>Apple Inc.</t>
  </si>
  <si>
    <t>0.79%</t>
  </si>
  <si>
    <t>$189.48</t>
  </si>
  <si>
    <t>21.94%</t>
  </si>
  <si>
    <t>MSFT</t>
  </si>
  <si>
    <t>Microsoft Corp.</t>
  </si>
  <si>
    <t>40.04%</t>
  </si>
  <si>
    <t>$9,609.24</t>
  </si>
  <si>
    <t>18.16%</t>
  </si>
  <si>
    <t>JPM</t>
  </si>
  <si>
    <t>JPMorgan Chase</t>
  </si>
  <si>
    <t>15.13%</t>
  </si>
  <si>
    <t>$3,631.32</t>
  </si>
  <si>
    <t>38.39%</t>
  </si>
  <si>
    <t>JNJ</t>
  </si>
  <si>
    <t>Johnson &amp; Johnson</t>
  </si>
  <si>
    <t>17.61%</t>
  </si>
  <si>
    <t>$4,226.40</t>
  </si>
  <si>
    <t>13.36%</t>
  </si>
  <si>
    <t>WMT</t>
  </si>
  <si>
    <t>Walmart Inc.</t>
  </si>
  <si>
    <t>26.43%</t>
  </si>
  <si>
    <t>$6,343.55</t>
  </si>
  <si>
    <t>43.00%</t>
  </si>
  <si>
    <t>Aporte Mensual</t>
  </si>
  <si>
    <t>Aportes del Año</t>
  </si>
  <si>
    <t>Capital Final</t>
  </si>
  <si>
    <t>Ganancia Acumulada</t>
  </si>
  <si>
    <t>Métrica</t>
  </si>
  <si>
    <t>Valor</t>
  </si>
  <si>
    <t>Riesgo Anual (Volatilidad)</t>
  </si>
  <si>
    <t>12.50%</t>
  </si>
  <si>
    <t>Rendimiento Esperado Anual</t>
  </si>
  <si>
    <t>26.97%</t>
  </si>
  <si>
    <t>Ratio Sharpe (Anual)</t>
  </si>
  <si>
    <t>1.84</t>
  </si>
  <si>
    <t>Perfil de Riesgo</t>
  </si>
  <si>
    <t>MODERADO</t>
  </si>
  <si>
    <t>Tasa Libre de Riesgo</t>
  </si>
  <si>
    <t>4.00%</t>
  </si>
  <si>
    <t>Prima de Riesgo</t>
  </si>
  <si>
    <t>22.97%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</si>
</sst>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$$]#,##0.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Alignment="1" applyFont="1" applyNumberForma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30.57"/>
    <col customWidth="1" min="3" max="3" width="18.0"/>
    <col customWidth="1" min="4" max="4" width="8.71"/>
    <col customWidth="1" min="5" max="5" width="11.14"/>
    <col customWidth="1" min="6" max="6" width="1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>
      <c r="A2" s="3">
        <v>46023.0</v>
      </c>
      <c r="B2" s="4">
        <f>F2</f>
        <v>10000</v>
      </c>
      <c r="C2" s="5">
        <f t="shared" ref="C2:C121" si="1">B2*$E$2</f>
        <v>226</v>
      </c>
      <c r="E2" s="6">
        <v>0.0226</v>
      </c>
      <c r="F2" s="4">
        <v>10000.0</v>
      </c>
    </row>
    <row r="3">
      <c r="A3" s="3">
        <v>46054.0</v>
      </c>
      <c r="B3" s="4">
        <f t="shared" ref="B3:B121" si="2">(B2+C2)+$F$2</f>
        <v>20226</v>
      </c>
      <c r="C3" s="5">
        <f t="shared" si="1"/>
        <v>457.1076</v>
      </c>
      <c r="E3" s="7"/>
    </row>
    <row r="4">
      <c r="A4" s="3">
        <v>46082.0</v>
      </c>
      <c r="B4" s="4">
        <f t="shared" si="2"/>
        <v>30683.1076</v>
      </c>
      <c r="C4" s="5">
        <f t="shared" si="1"/>
        <v>693.4382318</v>
      </c>
      <c r="E4" s="7"/>
    </row>
    <row r="5">
      <c r="A5" s="3">
        <v>46113.0</v>
      </c>
      <c r="B5" s="4">
        <f t="shared" si="2"/>
        <v>41376.54583</v>
      </c>
      <c r="C5" s="5">
        <f t="shared" si="1"/>
        <v>935.1099358</v>
      </c>
      <c r="E5" s="7"/>
    </row>
    <row r="6">
      <c r="A6" s="3">
        <v>46143.0</v>
      </c>
      <c r="B6" s="4">
        <f t="shared" si="2"/>
        <v>52311.65577</v>
      </c>
      <c r="C6" s="5">
        <f t="shared" si="1"/>
        <v>1182.24342</v>
      </c>
      <c r="E6" s="7"/>
    </row>
    <row r="7">
      <c r="A7" s="3">
        <v>46174.0</v>
      </c>
      <c r="B7" s="4">
        <f t="shared" si="2"/>
        <v>63493.89919</v>
      </c>
      <c r="C7" s="5">
        <f t="shared" si="1"/>
        <v>1434.962122</v>
      </c>
      <c r="E7" s="7"/>
    </row>
    <row r="8">
      <c r="A8" s="3">
        <v>46204.0</v>
      </c>
      <c r="B8" s="4">
        <f t="shared" si="2"/>
        <v>74928.86131</v>
      </c>
      <c r="C8" s="5">
        <f t="shared" si="1"/>
        <v>1693.392266</v>
      </c>
      <c r="E8" s="7"/>
    </row>
    <row r="9">
      <c r="A9" s="3">
        <v>46235.0</v>
      </c>
      <c r="B9" s="4">
        <f t="shared" si="2"/>
        <v>86622.25358</v>
      </c>
      <c r="C9" s="5">
        <f t="shared" si="1"/>
        <v>1957.662931</v>
      </c>
      <c r="E9" s="7"/>
    </row>
    <row r="10">
      <c r="A10" s="3">
        <v>46266.0</v>
      </c>
      <c r="B10" s="4">
        <f t="shared" si="2"/>
        <v>98579.91651</v>
      </c>
      <c r="C10" s="5">
        <f t="shared" si="1"/>
        <v>2227.906113</v>
      </c>
      <c r="E10" s="7"/>
    </row>
    <row r="11">
      <c r="A11" s="3">
        <v>46296.0</v>
      </c>
      <c r="B11" s="4">
        <f t="shared" si="2"/>
        <v>110807.8226</v>
      </c>
      <c r="C11" s="5">
        <f t="shared" si="1"/>
        <v>2504.256791</v>
      </c>
      <c r="E11" s="7"/>
    </row>
    <row r="12">
      <c r="A12" s="3">
        <v>46327.0</v>
      </c>
      <c r="B12" s="4">
        <f t="shared" si="2"/>
        <v>123312.0794</v>
      </c>
      <c r="C12" s="5">
        <f t="shared" si="1"/>
        <v>2786.852995</v>
      </c>
      <c r="E12" s="7"/>
    </row>
    <row r="13">
      <c r="A13" s="3">
        <v>46357.0</v>
      </c>
      <c r="B13" s="4">
        <f t="shared" si="2"/>
        <v>136098.9324</v>
      </c>
      <c r="C13" s="5">
        <f t="shared" si="1"/>
        <v>3075.835872</v>
      </c>
      <c r="E13" s="7"/>
    </row>
    <row r="14">
      <c r="A14" s="3">
        <v>46388.0</v>
      </c>
      <c r="B14" s="4">
        <f t="shared" si="2"/>
        <v>149174.7683</v>
      </c>
      <c r="C14" s="5">
        <f t="shared" si="1"/>
        <v>3371.349763</v>
      </c>
      <c r="E14" s="7"/>
    </row>
    <row r="15">
      <c r="A15" s="3">
        <v>46419.0</v>
      </c>
      <c r="B15" s="4">
        <f t="shared" si="2"/>
        <v>162546.118</v>
      </c>
      <c r="C15" s="5">
        <f t="shared" si="1"/>
        <v>3673.542268</v>
      </c>
      <c r="E15" s="7"/>
    </row>
    <row r="16">
      <c r="A16" s="3">
        <v>46447.0</v>
      </c>
      <c r="B16" s="4">
        <f t="shared" si="2"/>
        <v>176219.6603</v>
      </c>
      <c r="C16" s="5">
        <f t="shared" si="1"/>
        <v>3982.564323</v>
      </c>
      <c r="E16" s="7"/>
    </row>
    <row r="17">
      <c r="A17" s="3">
        <v>46478.0</v>
      </c>
      <c r="B17" s="4">
        <f t="shared" si="2"/>
        <v>190202.2246</v>
      </c>
      <c r="C17" s="5">
        <f t="shared" si="1"/>
        <v>4298.570277</v>
      </c>
      <c r="E17" s="7"/>
    </row>
    <row r="18">
      <c r="A18" s="3">
        <v>46508.0</v>
      </c>
      <c r="B18" s="4">
        <f t="shared" si="2"/>
        <v>204500.7949</v>
      </c>
      <c r="C18" s="5">
        <f t="shared" si="1"/>
        <v>4621.717965</v>
      </c>
      <c r="E18" s="7"/>
    </row>
    <row r="19">
      <c r="A19" s="3">
        <v>46539.0</v>
      </c>
      <c r="B19" s="4">
        <f t="shared" si="2"/>
        <v>219122.5129</v>
      </c>
      <c r="C19" s="5">
        <f t="shared" si="1"/>
        <v>4952.168791</v>
      </c>
      <c r="E19" s="7"/>
    </row>
    <row r="20">
      <c r="A20" s="3">
        <v>46569.0</v>
      </c>
      <c r="B20" s="4">
        <f t="shared" si="2"/>
        <v>234074.6817</v>
      </c>
      <c r="C20" s="5">
        <f t="shared" si="1"/>
        <v>5290.087806</v>
      </c>
      <c r="E20" s="7"/>
    </row>
    <row r="21" ht="15.75" customHeight="1">
      <c r="A21" s="3">
        <v>46600.0</v>
      </c>
      <c r="B21" s="4">
        <f t="shared" si="2"/>
        <v>249364.7695</v>
      </c>
      <c r="C21" s="5">
        <f t="shared" si="1"/>
        <v>5635.64379</v>
      </c>
      <c r="E21" s="7"/>
    </row>
    <row r="22" ht="15.75" customHeight="1">
      <c r="A22" s="3">
        <v>46631.0</v>
      </c>
      <c r="B22" s="4">
        <f t="shared" si="2"/>
        <v>265000.4133</v>
      </c>
      <c r="C22" s="5">
        <f t="shared" si="1"/>
        <v>5989.00934</v>
      </c>
      <c r="E22" s="7"/>
    </row>
    <row r="23" ht="15.75" customHeight="1">
      <c r="A23" s="3">
        <v>46661.0</v>
      </c>
      <c r="B23" s="4">
        <f t="shared" si="2"/>
        <v>280989.4226</v>
      </c>
      <c r="C23" s="5">
        <f t="shared" si="1"/>
        <v>6350.360951</v>
      </c>
      <c r="E23" s="7"/>
    </row>
    <row r="24" ht="15.75" customHeight="1">
      <c r="A24" s="3">
        <v>46692.0</v>
      </c>
      <c r="B24" s="4">
        <f t="shared" si="2"/>
        <v>297339.7835</v>
      </c>
      <c r="C24" s="5">
        <f t="shared" si="1"/>
        <v>6719.879108</v>
      </c>
      <c r="E24" s="7"/>
    </row>
    <row r="25" ht="15.75" customHeight="1">
      <c r="A25" s="3">
        <v>46722.0</v>
      </c>
      <c r="B25" s="4">
        <f t="shared" si="2"/>
        <v>314059.6627</v>
      </c>
      <c r="C25" s="5">
        <f t="shared" si="1"/>
        <v>7097.748376</v>
      </c>
      <c r="E25" s="7"/>
    </row>
    <row r="26" ht="15.75" customHeight="1">
      <c r="A26" s="3">
        <v>46753.0</v>
      </c>
      <c r="B26" s="4">
        <f t="shared" si="2"/>
        <v>331157.411</v>
      </c>
      <c r="C26" s="5">
        <f t="shared" si="1"/>
        <v>7484.157489</v>
      </c>
      <c r="E26" s="7"/>
    </row>
    <row r="27" ht="15.75" customHeight="1">
      <c r="A27" s="3">
        <v>46784.0</v>
      </c>
      <c r="B27" s="4">
        <f t="shared" si="2"/>
        <v>348641.5685</v>
      </c>
      <c r="C27" s="5">
        <f t="shared" si="1"/>
        <v>7879.299449</v>
      </c>
      <c r="E27" s="7"/>
    </row>
    <row r="28" ht="15.75" customHeight="1">
      <c r="A28" s="3">
        <v>46813.0</v>
      </c>
      <c r="B28" s="4">
        <f t="shared" si="2"/>
        <v>366520.868</v>
      </c>
      <c r="C28" s="5">
        <f t="shared" si="1"/>
        <v>8283.371616</v>
      </c>
      <c r="E28" s="7"/>
    </row>
    <row r="29" ht="15.75" customHeight="1">
      <c r="A29" s="3">
        <v>46844.0</v>
      </c>
      <c r="B29" s="4">
        <f t="shared" si="2"/>
        <v>384804.2396</v>
      </c>
      <c r="C29" s="5">
        <f t="shared" si="1"/>
        <v>8696.575815</v>
      </c>
      <c r="E29" s="7"/>
    </row>
    <row r="30" ht="15.75" customHeight="1">
      <c r="A30" s="3">
        <v>46874.0</v>
      </c>
      <c r="B30" s="4">
        <f t="shared" si="2"/>
        <v>403500.8154</v>
      </c>
      <c r="C30" s="5">
        <f t="shared" si="1"/>
        <v>9119.118428</v>
      </c>
      <c r="E30" s="7"/>
    </row>
    <row r="31" ht="15.75" customHeight="1">
      <c r="A31" s="3">
        <v>46905.0</v>
      </c>
      <c r="B31" s="4">
        <f t="shared" si="2"/>
        <v>422619.9338</v>
      </c>
      <c r="C31" s="5">
        <f t="shared" si="1"/>
        <v>9551.210505</v>
      </c>
      <c r="E31" s="7"/>
    </row>
    <row r="32" ht="15.75" customHeight="1">
      <c r="A32" s="3">
        <v>46935.0</v>
      </c>
      <c r="B32" s="4">
        <f t="shared" si="2"/>
        <v>442171.1443</v>
      </c>
      <c r="C32" s="5">
        <f t="shared" si="1"/>
        <v>9993.067862</v>
      </c>
      <c r="E32" s="7"/>
    </row>
    <row r="33" ht="15.75" customHeight="1">
      <c r="A33" s="3">
        <v>46966.0</v>
      </c>
      <c r="B33" s="4">
        <f t="shared" si="2"/>
        <v>462164.2122</v>
      </c>
      <c r="C33" s="5">
        <f t="shared" si="1"/>
        <v>10444.9112</v>
      </c>
      <c r="E33" s="7"/>
    </row>
    <row r="34" ht="15.75" customHeight="1">
      <c r="A34" s="3">
        <v>46997.0</v>
      </c>
      <c r="B34" s="4">
        <f t="shared" si="2"/>
        <v>482609.1234</v>
      </c>
      <c r="C34" s="5">
        <f t="shared" si="1"/>
        <v>10906.96619</v>
      </c>
      <c r="E34" s="7"/>
    </row>
    <row r="35" ht="15.75" customHeight="1">
      <c r="A35" s="3">
        <v>47027.0</v>
      </c>
      <c r="B35" s="4">
        <f t="shared" si="2"/>
        <v>503516.0896</v>
      </c>
      <c r="C35" s="5">
        <f t="shared" si="1"/>
        <v>11379.46362</v>
      </c>
      <c r="E35" s="7"/>
    </row>
    <row r="36" ht="15.75" customHeight="1">
      <c r="A36" s="3">
        <v>47058.0</v>
      </c>
      <c r="B36" s="4">
        <f t="shared" si="2"/>
        <v>524895.5532</v>
      </c>
      <c r="C36" s="5">
        <f t="shared" si="1"/>
        <v>11862.6395</v>
      </c>
      <c r="E36" s="7"/>
    </row>
    <row r="37" ht="15.75" customHeight="1">
      <c r="A37" s="3">
        <v>47088.0</v>
      </c>
      <c r="B37" s="4">
        <f t="shared" si="2"/>
        <v>546758.1927</v>
      </c>
      <c r="C37" s="5">
        <f t="shared" si="1"/>
        <v>12356.73516</v>
      </c>
      <c r="E37" s="7"/>
    </row>
    <row r="38" ht="15.75" customHeight="1">
      <c r="A38" s="3">
        <v>47119.0</v>
      </c>
      <c r="B38" s="4">
        <f t="shared" si="2"/>
        <v>569114.9279</v>
      </c>
      <c r="C38" s="5">
        <f t="shared" si="1"/>
        <v>12861.99737</v>
      </c>
      <c r="E38" s="7"/>
    </row>
    <row r="39" ht="15.75" customHeight="1">
      <c r="A39" s="3">
        <v>47150.0</v>
      </c>
      <c r="B39" s="4">
        <f t="shared" si="2"/>
        <v>591976.9252</v>
      </c>
      <c r="C39" s="5">
        <f t="shared" si="1"/>
        <v>13378.67851</v>
      </c>
      <c r="E39" s="7"/>
    </row>
    <row r="40" ht="15.75" customHeight="1">
      <c r="A40" s="3">
        <v>47178.0</v>
      </c>
      <c r="B40" s="4">
        <f t="shared" si="2"/>
        <v>615355.6037</v>
      </c>
      <c r="C40" s="5">
        <f t="shared" si="1"/>
        <v>13907.03664</v>
      </c>
      <c r="E40" s="7"/>
    </row>
    <row r="41" ht="15.75" customHeight="1">
      <c r="A41" s="3">
        <v>47209.0</v>
      </c>
      <c r="B41" s="4">
        <f t="shared" si="2"/>
        <v>639262.6404</v>
      </c>
      <c r="C41" s="5">
        <f t="shared" si="1"/>
        <v>14447.33567</v>
      </c>
      <c r="E41" s="7"/>
    </row>
    <row r="42" ht="15.75" customHeight="1">
      <c r="A42" s="3">
        <v>47239.0</v>
      </c>
      <c r="B42" s="4">
        <f t="shared" si="2"/>
        <v>663709.9761</v>
      </c>
      <c r="C42" s="5">
        <f t="shared" si="1"/>
        <v>14999.84546</v>
      </c>
      <c r="E42" s="7"/>
    </row>
    <row r="43" ht="15.75" customHeight="1">
      <c r="A43" s="3">
        <v>47270.0</v>
      </c>
      <c r="B43" s="4">
        <f t="shared" si="2"/>
        <v>688709.8215</v>
      </c>
      <c r="C43" s="5">
        <f t="shared" si="1"/>
        <v>15564.84197</v>
      </c>
      <c r="E43" s="7"/>
    </row>
    <row r="44" ht="15.75" customHeight="1">
      <c r="A44" s="3">
        <v>47300.0</v>
      </c>
      <c r="B44" s="4">
        <f t="shared" si="2"/>
        <v>714274.6635</v>
      </c>
      <c r="C44" s="5">
        <f t="shared" si="1"/>
        <v>16142.60739</v>
      </c>
      <c r="E44" s="7"/>
    </row>
    <row r="45" ht="15.75" customHeight="1">
      <c r="A45" s="3">
        <v>47331.0</v>
      </c>
      <c r="B45" s="4">
        <f t="shared" si="2"/>
        <v>740417.2709</v>
      </c>
      <c r="C45" s="5">
        <f t="shared" si="1"/>
        <v>16733.43032</v>
      </c>
      <c r="E45" s="7"/>
    </row>
    <row r="46" ht="15.75" customHeight="1">
      <c r="A46" s="3">
        <v>47362.0</v>
      </c>
      <c r="B46" s="4">
        <f t="shared" si="2"/>
        <v>767150.7012</v>
      </c>
      <c r="C46" s="5">
        <f t="shared" si="1"/>
        <v>17337.60585</v>
      </c>
      <c r="E46" s="7"/>
    </row>
    <row r="47" ht="15.75" customHeight="1">
      <c r="A47" s="3">
        <v>47392.0</v>
      </c>
      <c r="B47" s="4">
        <f t="shared" si="2"/>
        <v>794488.3071</v>
      </c>
      <c r="C47" s="5">
        <f t="shared" si="1"/>
        <v>17955.43574</v>
      </c>
      <c r="E47" s="7"/>
    </row>
    <row r="48" ht="15.75" customHeight="1">
      <c r="A48" s="3">
        <v>47423.0</v>
      </c>
      <c r="B48" s="4">
        <f t="shared" si="2"/>
        <v>822443.7428</v>
      </c>
      <c r="C48" s="5">
        <f t="shared" si="1"/>
        <v>18587.22859</v>
      </c>
      <c r="E48" s="7"/>
    </row>
    <row r="49" ht="15.75" customHeight="1">
      <c r="A49" s="3">
        <v>47453.0</v>
      </c>
      <c r="B49" s="4">
        <f t="shared" si="2"/>
        <v>851030.9714</v>
      </c>
      <c r="C49" s="5">
        <f t="shared" si="1"/>
        <v>19233.29995</v>
      </c>
      <c r="E49" s="7"/>
    </row>
    <row r="50" ht="15.75" customHeight="1">
      <c r="A50" s="3">
        <v>47484.0</v>
      </c>
      <c r="B50" s="4">
        <f t="shared" si="2"/>
        <v>880264.2713</v>
      </c>
      <c r="C50" s="5">
        <f t="shared" si="1"/>
        <v>19893.97253</v>
      </c>
      <c r="E50" s="7"/>
    </row>
    <row r="51" ht="15.75" customHeight="1">
      <c r="A51" s="3">
        <v>47515.0</v>
      </c>
      <c r="B51" s="4">
        <f t="shared" si="2"/>
        <v>910158.2439</v>
      </c>
      <c r="C51" s="5">
        <f t="shared" si="1"/>
        <v>20569.57631</v>
      </c>
      <c r="E51" s="7"/>
    </row>
    <row r="52" ht="15.75" customHeight="1">
      <c r="A52" s="3">
        <v>47543.0</v>
      </c>
      <c r="B52" s="4">
        <f t="shared" si="2"/>
        <v>940727.8202</v>
      </c>
      <c r="C52" s="5">
        <f t="shared" si="1"/>
        <v>21260.44874</v>
      </c>
      <c r="E52" s="7"/>
    </row>
    <row r="53" ht="15.75" customHeight="1">
      <c r="A53" s="3">
        <v>47574.0</v>
      </c>
      <c r="B53" s="4">
        <f t="shared" si="2"/>
        <v>971988.2689</v>
      </c>
      <c r="C53" s="5">
        <f t="shared" si="1"/>
        <v>21966.93488</v>
      </c>
      <c r="E53" s="7"/>
    </row>
    <row r="54" ht="15.75" customHeight="1">
      <c r="A54" s="3">
        <v>47604.0</v>
      </c>
      <c r="B54" s="4">
        <f t="shared" si="2"/>
        <v>1003955.204</v>
      </c>
      <c r="C54" s="5">
        <f t="shared" si="1"/>
        <v>22689.38761</v>
      </c>
      <c r="E54" s="7"/>
    </row>
    <row r="55" ht="15.75" customHeight="1">
      <c r="A55" s="3">
        <v>47635.0</v>
      </c>
      <c r="B55" s="4">
        <f t="shared" si="2"/>
        <v>1036644.591</v>
      </c>
      <c r="C55" s="5">
        <f t="shared" si="1"/>
        <v>23428.16777</v>
      </c>
      <c r="E55" s="7"/>
    </row>
    <row r="56" ht="15.75" customHeight="1">
      <c r="A56" s="3">
        <v>47665.0</v>
      </c>
      <c r="B56" s="4">
        <f t="shared" si="2"/>
        <v>1070072.759</v>
      </c>
      <c r="C56" s="5">
        <f t="shared" si="1"/>
        <v>24183.64436</v>
      </c>
      <c r="E56" s="7"/>
    </row>
    <row r="57" ht="15.75" customHeight="1">
      <c r="A57" s="3">
        <v>47696.0</v>
      </c>
      <c r="B57" s="4">
        <f t="shared" si="2"/>
        <v>1104256.404</v>
      </c>
      <c r="C57" s="5">
        <f t="shared" si="1"/>
        <v>24956.19472</v>
      </c>
      <c r="E57" s="7"/>
    </row>
    <row r="58" ht="15.75" customHeight="1">
      <c r="A58" s="3">
        <v>47727.0</v>
      </c>
      <c r="B58" s="4">
        <f t="shared" si="2"/>
        <v>1139212.598</v>
      </c>
      <c r="C58" s="5">
        <f t="shared" si="1"/>
        <v>25746.20472</v>
      </c>
      <c r="E58" s="7"/>
    </row>
    <row r="59" ht="15.75" customHeight="1">
      <c r="A59" s="3">
        <v>47757.0</v>
      </c>
      <c r="B59" s="4">
        <f t="shared" si="2"/>
        <v>1174958.803</v>
      </c>
      <c r="C59" s="5">
        <f t="shared" si="1"/>
        <v>26554.06895</v>
      </c>
      <c r="E59" s="7"/>
    </row>
    <row r="60" ht="15.75" customHeight="1">
      <c r="A60" s="3">
        <v>47788.0</v>
      </c>
      <c r="B60" s="4">
        <f t="shared" si="2"/>
        <v>1211512.872</v>
      </c>
      <c r="C60" s="5">
        <f t="shared" si="1"/>
        <v>27380.1909</v>
      </c>
      <c r="E60" s="7"/>
    </row>
    <row r="61" ht="15.75" customHeight="1">
      <c r="A61" s="3">
        <v>47818.0</v>
      </c>
      <c r="B61" s="4">
        <f t="shared" si="2"/>
        <v>1248893.063</v>
      </c>
      <c r="C61" s="5">
        <f t="shared" si="1"/>
        <v>28224.98322</v>
      </c>
      <c r="E61" s="7"/>
    </row>
    <row r="62" ht="15.75" customHeight="1">
      <c r="A62" s="3">
        <v>47849.0</v>
      </c>
      <c r="B62" s="4">
        <f t="shared" si="2"/>
        <v>1287118.046</v>
      </c>
      <c r="C62" s="5">
        <f t="shared" si="1"/>
        <v>29088.86784</v>
      </c>
      <c r="E62" s="7"/>
    </row>
    <row r="63" ht="15.75" customHeight="1">
      <c r="A63" s="3">
        <v>47880.0</v>
      </c>
      <c r="B63" s="4">
        <f t="shared" si="2"/>
        <v>1326206.914</v>
      </c>
      <c r="C63" s="5">
        <f t="shared" si="1"/>
        <v>29972.27625</v>
      </c>
      <c r="E63" s="7"/>
    </row>
    <row r="64" ht="15.75" customHeight="1">
      <c r="A64" s="3">
        <v>47908.0</v>
      </c>
      <c r="B64" s="4">
        <f t="shared" si="2"/>
        <v>1366179.19</v>
      </c>
      <c r="C64" s="5">
        <f t="shared" si="1"/>
        <v>30875.6497</v>
      </c>
      <c r="E64" s="7"/>
    </row>
    <row r="65" ht="15.75" customHeight="1">
      <c r="A65" s="3">
        <v>47939.0</v>
      </c>
      <c r="B65" s="4">
        <f t="shared" si="2"/>
        <v>1407054.84</v>
      </c>
      <c r="C65" s="5">
        <f t="shared" si="1"/>
        <v>31799.43938</v>
      </c>
      <c r="E65" s="7"/>
    </row>
    <row r="66" ht="15.75" customHeight="1">
      <c r="A66" s="3">
        <v>47969.0</v>
      </c>
      <c r="B66" s="4">
        <f t="shared" si="2"/>
        <v>1448854.279</v>
      </c>
      <c r="C66" s="5">
        <f t="shared" si="1"/>
        <v>32744.10671</v>
      </c>
      <c r="E66" s="7"/>
    </row>
    <row r="67" ht="15.75" customHeight="1">
      <c r="A67" s="3">
        <v>48000.0</v>
      </c>
      <c r="B67" s="4">
        <f t="shared" si="2"/>
        <v>1491598.386</v>
      </c>
      <c r="C67" s="5">
        <f t="shared" si="1"/>
        <v>33710.12352</v>
      </c>
      <c r="E67" s="7"/>
    </row>
    <row r="68" ht="15.75" customHeight="1">
      <c r="A68" s="3">
        <v>48030.0</v>
      </c>
      <c r="B68" s="4">
        <f t="shared" si="2"/>
        <v>1535308.509</v>
      </c>
      <c r="C68" s="5">
        <f t="shared" si="1"/>
        <v>34697.97231</v>
      </c>
      <c r="E68" s="7"/>
    </row>
    <row r="69" ht="15.75" customHeight="1">
      <c r="A69" s="3">
        <v>48061.0</v>
      </c>
      <c r="B69" s="4">
        <f t="shared" si="2"/>
        <v>1580006.482</v>
      </c>
      <c r="C69" s="5">
        <f t="shared" si="1"/>
        <v>35708.14649</v>
      </c>
      <c r="E69" s="7"/>
    </row>
    <row r="70" ht="15.75" customHeight="1">
      <c r="A70" s="3">
        <v>48092.0</v>
      </c>
      <c r="B70" s="4">
        <f t="shared" si="2"/>
        <v>1625714.628</v>
      </c>
      <c r="C70" s="5">
        <f t="shared" si="1"/>
        <v>36741.1506</v>
      </c>
      <c r="E70" s="7"/>
    </row>
    <row r="71" ht="15.75" customHeight="1">
      <c r="A71" s="3">
        <v>48122.0</v>
      </c>
      <c r="B71" s="4">
        <f t="shared" si="2"/>
        <v>1672455.779</v>
      </c>
      <c r="C71" s="5">
        <f t="shared" si="1"/>
        <v>37797.5006</v>
      </c>
      <c r="E71" s="7"/>
    </row>
    <row r="72" ht="15.75" customHeight="1">
      <c r="A72" s="3">
        <v>48153.0</v>
      </c>
      <c r="B72" s="4">
        <f t="shared" si="2"/>
        <v>1720253.279</v>
      </c>
      <c r="C72" s="5">
        <f t="shared" si="1"/>
        <v>38877.72412</v>
      </c>
      <c r="E72" s="7"/>
    </row>
    <row r="73" ht="15.75" customHeight="1">
      <c r="A73" s="3">
        <v>48183.0</v>
      </c>
      <c r="B73" s="4">
        <f t="shared" si="2"/>
        <v>1769131.004</v>
      </c>
      <c r="C73" s="5">
        <f t="shared" si="1"/>
        <v>39982.36068</v>
      </c>
      <c r="E73" s="7"/>
    </row>
    <row r="74" ht="15.75" customHeight="1">
      <c r="A74" s="3">
        <v>48214.0</v>
      </c>
      <c r="B74" s="4">
        <f t="shared" si="2"/>
        <v>1819113.364</v>
      </c>
      <c r="C74" s="5">
        <f t="shared" si="1"/>
        <v>41111.96203</v>
      </c>
      <c r="E74" s="7"/>
    </row>
    <row r="75" ht="15.75" customHeight="1">
      <c r="A75" s="3">
        <v>48245.0</v>
      </c>
      <c r="B75" s="4">
        <f t="shared" si="2"/>
        <v>1870225.326</v>
      </c>
      <c r="C75" s="5">
        <f t="shared" si="1"/>
        <v>42267.09237</v>
      </c>
      <c r="E75" s="7"/>
    </row>
    <row r="76" ht="15.75" customHeight="1">
      <c r="A76" s="3">
        <v>48274.0</v>
      </c>
      <c r="B76" s="4">
        <f t="shared" si="2"/>
        <v>1922492.419</v>
      </c>
      <c r="C76" s="5">
        <f t="shared" si="1"/>
        <v>43448.32866</v>
      </c>
      <c r="E76" s="7"/>
    </row>
    <row r="77" ht="15.75" customHeight="1">
      <c r="A77" s="3">
        <v>48305.0</v>
      </c>
      <c r="B77" s="4">
        <f t="shared" si="2"/>
        <v>1975940.747</v>
      </c>
      <c r="C77" s="5">
        <f t="shared" si="1"/>
        <v>44656.26089</v>
      </c>
      <c r="E77" s="7"/>
    </row>
    <row r="78" ht="15.75" customHeight="1">
      <c r="A78" s="3">
        <v>48335.0</v>
      </c>
      <c r="B78" s="4">
        <f t="shared" si="2"/>
        <v>2030597.008</v>
      </c>
      <c r="C78" s="5">
        <f t="shared" si="1"/>
        <v>45891.49238</v>
      </c>
      <c r="E78" s="7"/>
    </row>
    <row r="79" ht="15.75" customHeight="1">
      <c r="A79" s="3">
        <v>48366.0</v>
      </c>
      <c r="B79" s="4">
        <f t="shared" si="2"/>
        <v>2086488.501</v>
      </c>
      <c r="C79" s="5">
        <f t="shared" si="1"/>
        <v>47154.64011</v>
      </c>
      <c r="E79" s="7"/>
    </row>
    <row r="80" ht="15.75" customHeight="1">
      <c r="A80" s="3">
        <v>48396.0</v>
      </c>
      <c r="B80" s="4">
        <f t="shared" si="2"/>
        <v>2143643.141</v>
      </c>
      <c r="C80" s="5">
        <f t="shared" si="1"/>
        <v>48446.33498</v>
      </c>
      <c r="E80" s="7"/>
    </row>
    <row r="81" ht="15.75" customHeight="1">
      <c r="A81" s="3">
        <v>48427.0</v>
      </c>
      <c r="B81" s="4">
        <f t="shared" si="2"/>
        <v>2202089.476</v>
      </c>
      <c r="C81" s="5">
        <f t="shared" si="1"/>
        <v>49767.22215</v>
      </c>
      <c r="E81" s="7"/>
    </row>
    <row r="82" ht="15.75" customHeight="1">
      <c r="A82" s="3">
        <v>48458.0</v>
      </c>
      <c r="B82" s="4">
        <f t="shared" si="2"/>
        <v>2261856.698</v>
      </c>
      <c r="C82" s="5">
        <f t="shared" si="1"/>
        <v>51117.96137</v>
      </c>
      <c r="E82" s="7"/>
    </row>
    <row r="83" ht="15.75" customHeight="1">
      <c r="A83" s="3">
        <v>48488.0</v>
      </c>
      <c r="B83" s="4">
        <f t="shared" si="2"/>
        <v>2322974.659</v>
      </c>
      <c r="C83" s="5">
        <f t="shared" si="1"/>
        <v>52499.2273</v>
      </c>
      <c r="E83" s="7"/>
    </row>
    <row r="84" ht="15.75" customHeight="1">
      <c r="A84" s="3">
        <v>48519.0</v>
      </c>
      <c r="B84" s="4">
        <f t="shared" si="2"/>
        <v>2385473.886</v>
      </c>
      <c r="C84" s="5">
        <f t="shared" si="1"/>
        <v>53911.70983</v>
      </c>
      <c r="E84" s="7"/>
    </row>
    <row r="85" ht="15.75" customHeight="1">
      <c r="A85" s="3">
        <v>48549.0</v>
      </c>
      <c r="B85" s="4">
        <f t="shared" si="2"/>
        <v>2449385.596</v>
      </c>
      <c r="C85" s="5">
        <f t="shared" si="1"/>
        <v>55356.11448</v>
      </c>
      <c r="E85" s="7"/>
    </row>
    <row r="86" ht="15.75" customHeight="1">
      <c r="A86" s="3">
        <v>48580.0</v>
      </c>
      <c r="B86" s="4">
        <f t="shared" si="2"/>
        <v>2514741.711</v>
      </c>
      <c r="C86" s="5">
        <f t="shared" si="1"/>
        <v>56833.16266</v>
      </c>
      <c r="E86" s="7"/>
    </row>
    <row r="87" ht="15.75" customHeight="1">
      <c r="A87" s="3">
        <v>48611.0</v>
      </c>
      <c r="B87" s="4">
        <f t="shared" si="2"/>
        <v>2581574.873</v>
      </c>
      <c r="C87" s="5">
        <f t="shared" si="1"/>
        <v>58343.59214</v>
      </c>
      <c r="E87" s="7"/>
    </row>
    <row r="88" ht="15.75" customHeight="1">
      <c r="A88" s="3">
        <v>48639.0</v>
      </c>
      <c r="B88" s="4">
        <f t="shared" si="2"/>
        <v>2649918.466</v>
      </c>
      <c r="C88" s="5">
        <f t="shared" si="1"/>
        <v>59888.15732</v>
      </c>
      <c r="E88" s="7"/>
    </row>
    <row r="89" ht="15.75" customHeight="1">
      <c r="A89" s="3">
        <v>48670.0</v>
      </c>
      <c r="B89" s="4">
        <f t="shared" si="2"/>
        <v>2719806.623</v>
      </c>
      <c r="C89" s="5">
        <f t="shared" si="1"/>
        <v>61467.62968</v>
      </c>
      <c r="E89" s="7"/>
    </row>
    <row r="90" ht="15.75" customHeight="1">
      <c r="A90" s="3">
        <v>48700.0</v>
      </c>
      <c r="B90" s="4">
        <f t="shared" si="2"/>
        <v>2791274.253</v>
      </c>
      <c r="C90" s="5">
        <f t="shared" si="1"/>
        <v>63082.79811</v>
      </c>
      <c r="E90" s="7"/>
    </row>
    <row r="91" ht="15.75" customHeight="1">
      <c r="A91" s="3">
        <v>48731.0</v>
      </c>
      <c r="B91" s="4">
        <f t="shared" si="2"/>
        <v>2864357.051</v>
      </c>
      <c r="C91" s="5">
        <f t="shared" si="1"/>
        <v>64734.46935</v>
      </c>
      <c r="E91" s="7"/>
    </row>
    <row r="92" ht="15.75" customHeight="1">
      <c r="A92" s="3">
        <v>48761.0</v>
      </c>
      <c r="B92" s="4">
        <f t="shared" si="2"/>
        <v>2939091.52</v>
      </c>
      <c r="C92" s="5">
        <f t="shared" si="1"/>
        <v>66423.46835</v>
      </c>
      <c r="E92" s="7"/>
    </row>
    <row r="93" ht="15.75" customHeight="1">
      <c r="A93" s="3">
        <v>48792.0</v>
      </c>
      <c r="B93" s="4">
        <f t="shared" si="2"/>
        <v>3015514.988</v>
      </c>
      <c r="C93" s="5">
        <f t="shared" si="1"/>
        <v>68150.63874</v>
      </c>
      <c r="E93" s="7"/>
    </row>
    <row r="94" ht="15.75" customHeight="1">
      <c r="A94" s="3">
        <v>48823.0</v>
      </c>
      <c r="B94" s="4">
        <f t="shared" si="2"/>
        <v>3093665.627</v>
      </c>
      <c r="C94" s="5">
        <f t="shared" si="1"/>
        <v>69916.84317</v>
      </c>
      <c r="E94" s="7"/>
    </row>
    <row r="95" ht="15.75" customHeight="1">
      <c r="A95" s="3">
        <v>48853.0</v>
      </c>
      <c r="B95" s="4">
        <f t="shared" si="2"/>
        <v>3173582.47</v>
      </c>
      <c r="C95" s="5">
        <f t="shared" si="1"/>
        <v>71722.96383</v>
      </c>
      <c r="E95" s="7"/>
    </row>
    <row r="96" ht="15.75" customHeight="1">
      <c r="A96" s="3">
        <v>48884.0</v>
      </c>
      <c r="B96" s="4">
        <f t="shared" si="2"/>
        <v>3255305.434</v>
      </c>
      <c r="C96" s="5">
        <f t="shared" si="1"/>
        <v>73569.90281</v>
      </c>
      <c r="E96" s="7"/>
    </row>
    <row r="97" ht="15.75" customHeight="1">
      <c r="A97" s="3">
        <v>48914.0</v>
      </c>
      <c r="B97" s="4">
        <f t="shared" si="2"/>
        <v>3338875.337</v>
      </c>
      <c r="C97" s="5">
        <f t="shared" si="1"/>
        <v>75458.58261</v>
      </c>
      <c r="E97" s="7"/>
    </row>
    <row r="98" ht="15.75" customHeight="1">
      <c r="A98" s="3">
        <v>48945.0</v>
      </c>
      <c r="B98" s="4">
        <f t="shared" si="2"/>
        <v>3424333.92</v>
      </c>
      <c r="C98" s="5">
        <f t="shared" si="1"/>
        <v>77389.94658</v>
      </c>
      <c r="E98" s="7"/>
    </row>
    <row r="99" ht="15.75" customHeight="1">
      <c r="A99" s="3">
        <v>48976.0</v>
      </c>
      <c r="B99" s="4">
        <f t="shared" si="2"/>
        <v>3511723.866</v>
      </c>
      <c r="C99" s="5">
        <f t="shared" si="1"/>
        <v>79364.95937</v>
      </c>
      <c r="E99" s="7"/>
    </row>
    <row r="100" ht="15.75" customHeight="1">
      <c r="A100" s="3">
        <v>49004.0</v>
      </c>
      <c r="B100" s="4">
        <f t="shared" si="2"/>
        <v>3601088.826</v>
      </c>
      <c r="C100" s="5">
        <f t="shared" si="1"/>
        <v>81384.60746</v>
      </c>
      <c r="E100" s="7"/>
    </row>
    <row r="101" ht="15.75" customHeight="1">
      <c r="A101" s="3">
        <v>49035.0</v>
      </c>
      <c r="B101" s="4">
        <f t="shared" si="2"/>
        <v>3692473.433</v>
      </c>
      <c r="C101" s="5">
        <f t="shared" si="1"/>
        <v>83449.89959</v>
      </c>
      <c r="E101" s="7"/>
    </row>
    <row r="102" ht="15.75" customHeight="1">
      <c r="A102" s="3">
        <v>49065.0</v>
      </c>
      <c r="B102" s="4">
        <f t="shared" si="2"/>
        <v>3785923.333</v>
      </c>
      <c r="C102" s="5">
        <f t="shared" si="1"/>
        <v>85561.86732</v>
      </c>
      <c r="E102" s="7"/>
    </row>
    <row r="103" ht="15.75" customHeight="1">
      <c r="A103" s="3">
        <v>49096.0</v>
      </c>
      <c r="B103" s="4">
        <f t="shared" si="2"/>
        <v>3881485.2</v>
      </c>
      <c r="C103" s="5">
        <f t="shared" si="1"/>
        <v>87721.56552</v>
      </c>
      <c r="E103" s="7"/>
    </row>
    <row r="104" ht="15.75" customHeight="1">
      <c r="A104" s="3">
        <v>49126.0</v>
      </c>
      <c r="B104" s="4">
        <f t="shared" si="2"/>
        <v>3979206.765</v>
      </c>
      <c r="C104" s="5">
        <f t="shared" si="1"/>
        <v>89930.0729</v>
      </c>
      <c r="E104" s="7"/>
    </row>
    <row r="105" ht="15.75" customHeight="1">
      <c r="A105" s="3">
        <v>49157.0</v>
      </c>
      <c r="B105" s="4">
        <f t="shared" si="2"/>
        <v>4079136.838</v>
      </c>
      <c r="C105" s="5">
        <f t="shared" si="1"/>
        <v>92188.49255</v>
      </c>
      <c r="E105" s="7"/>
    </row>
    <row r="106" ht="15.75" customHeight="1">
      <c r="A106" s="3">
        <v>49188.0</v>
      </c>
      <c r="B106" s="4">
        <f t="shared" si="2"/>
        <v>4181325.331</v>
      </c>
      <c r="C106" s="5">
        <f t="shared" si="1"/>
        <v>94497.95248</v>
      </c>
      <c r="E106" s="7"/>
    </row>
    <row r="107" ht="15.75" customHeight="1">
      <c r="A107" s="3">
        <v>49218.0</v>
      </c>
      <c r="B107" s="4">
        <f t="shared" si="2"/>
        <v>4285823.283</v>
      </c>
      <c r="C107" s="5">
        <f t="shared" si="1"/>
        <v>96859.6062</v>
      </c>
      <c r="E107" s="7"/>
    </row>
    <row r="108" ht="15.75" customHeight="1">
      <c r="A108" s="3">
        <v>49249.0</v>
      </c>
      <c r="B108" s="4">
        <f t="shared" si="2"/>
        <v>4392682.89</v>
      </c>
      <c r="C108" s="5">
        <f t="shared" si="1"/>
        <v>99274.6333</v>
      </c>
      <c r="E108" s="7"/>
    </row>
    <row r="109" ht="15.75" customHeight="1">
      <c r="A109" s="3">
        <v>49279.0</v>
      </c>
      <c r="B109" s="4">
        <f t="shared" si="2"/>
        <v>4501957.523</v>
      </c>
      <c r="C109" s="5">
        <f t="shared" si="1"/>
        <v>101744.24</v>
      </c>
      <c r="E109" s="7"/>
    </row>
    <row r="110" ht="15.75" customHeight="1">
      <c r="A110" s="3">
        <v>49310.0</v>
      </c>
      <c r="B110" s="4">
        <f t="shared" si="2"/>
        <v>4613701.763</v>
      </c>
      <c r="C110" s="5">
        <f t="shared" si="1"/>
        <v>104269.6598</v>
      </c>
      <c r="E110" s="7"/>
    </row>
    <row r="111" ht="15.75" customHeight="1">
      <c r="A111" s="3">
        <v>49341.0</v>
      </c>
      <c r="B111" s="4">
        <f t="shared" si="2"/>
        <v>4727971.423</v>
      </c>
      <c r="C111" s="5">
        <f t="shared" si="1"/>
        <v>106852.1542</v>
      </c>
      <c r="E111" s="7"/>
    </row>
    <row r="112" ht="15.75" customHeight="1">
      <c r="A112" s="3">
        <v>49369.0</v>
      </c>
      <c r="B112" s="4">
        <f t="shared" si="2"/>
        <v>4844823.577</v>
      </c>
      <c r="C112" s="5">
        <f t="shared" si="1"/>
        <v>109493.0128</v>
      </c>
      <c r="E112" s="7"/>
    </row>
    <row r="113" ht="15.75" customHeight="1">
      <c r="A113" s="3">
        <v>49400.0</v>
      </c>
      <c r="B113" s="4">
        <f t="shared" si="2"/>
        <v>4964316.59</v>
      </c>
      <c r="C113" s="5">
        <f t="shared" si="1"/>
        <v>112193.5549</v>
      </c>
      <c r="E113" s="7"/>
    </row>
    <row r="114" ht="15.75" customHeight="1">
      <c r="A114" s="3">
        <v>49430.0</v>
      </c>
      <c r="B114" s="4">
        <f t="shared" si="2"/>
        <v>5086510.145</v>
      </c>
      <c r="C114" s="5">
        <f t="shared" si="1"/>
        <v>114955.1293</v>
      </c>
      <c r="E114" s="7"/>
    </row>
    <row r="115" ht="15.75" customHeight="1">
      <c r="A115" s="3">
        <v>49461.0</v>
      </c>
      <c r="B115" s="4">
        <f t="shared" si="2"/>
        <v>5211465.274</v>
      </c>
      <c r="C115" s="5">
        <f t="shared" si="1"/>
        <v>117779.1152</v>
      </c>
      <c r="E115" s="7"/>
    </row>
    <row r="116" ht="15.75" customHeight="1">
      <c r="A116" s="3">
        <v>49491.0</v>
      </c>
      <c r="B116" s="4">
        <f t="shared" si="2"/>
        <v>5339244.389</v>
      </c>
      <c r="C116" s="5">
        <f t="shared" si="1"/>
        <v>120666.9232</v>
      </c>
      <c r="E116" s="7"/>
    </row>
    <row r="117" ht="15.75" customHeight="1">
      <c r="A117" s="3">
        <v>49522.0</v>
      </c>
      <c r="B117" s="4">
        <f t="shared" si="2"/>
        <v>5469911.312</v>
      </c>
      <c r="C117" s="5">
        <f t="shared" si="1"/>
        <v>123619.9957</v>
      </c>
      <c r="E117" s="7"/>
    </row>
    <row r="118" ht="15.75" customHeight="1">
      <c r="A118" s="3">
        <v>49553.0</v>
      </c>
      <c r="B118" s="4">
        <f t="shared" si="2"/>
        <v>5603531.308</v>
      </c>
      <c r="C118" s="5">
        <f t="shared" si="1"/>
        <v>126639.8076</v>
      </c>
      <c r="E118" s="7"/>
    </row>
    <row r="119" ht="15.75" customHeight="1">
      <c r="A119" s="3">
        <v>49583.0</v>
      </c>
      <c r="B119" s="4">
        <f t="shared" si="2"/>
        <v>5740171.115</v>
      </c>
      <c r="C119" s="5">
        <f t="shared" si="1"/>
        <v>129727.8672</v>
      </c>
      <c r="E119" s="7"/>
    </row>
    <row r="120" ht="15.75" customHeight="1">
      <c r="A120" s="3">
        <v>49614.0</v>
      </c>
      <c r="B120" s="4">
        <f t="shared" si="2"/>
        <v>5879898.983</v>
      </c>
      <c r="C120" s="5">
        <f t="shared" si="1"/>
        <v>132885.717</v>
      </c>
      <c r="E120" s="7"/>
    </row>
    <row r="121" ht="15.75" customHeight="1">
      <c r="A121" s="3">
        <v>49644.0</v>
      </c>
      <c r="B121" s="4">
        <f t="shared" si="2"/>
        <v>6022784.7</v>
      </c>
      <c r="C121" s="5">
        <f t="shared" si="1"/>
        <v>136114.9342</v>
      </c>
      <c r="E121" s="7"/>
    </row>
    <row r="122" ht="15.75" customHeight="1">
      <c r="A122" s="3"/>
      <c r="B122" s="4"/>
      <c r="E122" s="7"/>
    </row>
    <row r="123" ht="15.75" customHeight="1">
      <c r="A123" s="3"/>
      <c r="B123" s="4"/>
      <c r="E123" s="7"/>
    </row>
    <row r="124" ht="15.75" customHeight="1">
      <c r="A124" s="3"/>
      <c r="B124" s="4"/>
      <c r="E124" s="7"/>
    </row>
    <row r="125" ht="15.75" customHeight="1">
      <c r="A125" s="3"/>
      <c r="B125" s="4"/>
      <c r="E125" s="7"/>
    </row>
    <row r="126" ht="15.75" customHeight="1">
      <c r="A126" s="3"/>
      <c r="B126" s="4"/>
      <c r="E126" s="7"/>
    </row>
    <row r="127" ht="15.75" customHeight="1">
      <c r="A127" s="3"/>
      <c r="B127" s="4"/>
      <c r="E127" s="7"/>
    </row>
    <row r="128" ht="15.75" customHeight="1">
      <c r="A128" s="3"/>
      <c r="B128" s="4"/>
      <c r="E128" s="7"/>
    </row>
    <row r="129" ht="15.75" customHeight="1">
      <c r="A129" s="3"/>
      <c r="B129" s="4"/>
      <c r="E129" s="7"/>
    </row>
    <row r="130" ht="15.75" customHeight="1">
      <c r="A130" s="3"/>
      <c r="B130" s="4"/>
      <c r="E130" s="7"/>
    </row>
    <row r="131" ht="15.75" customHeight="1">
      <c r="A131" s="3"/>
      <c r="B131" s="4"/>
      <c r="E131" s="7"/>
    </row>
    <row r="132" ht="15.75" customHeight="1">
      <c r="A132" s="3"/>
      <c r="B132" s="4"/>
      <c r="E132" s="7"/>
    </row>
    <row r="133" ht="15.75" customHeight="1">
      <c r="A133" s="3"/>
      <c r="B133" s="4"/>
      <c r="E133" s="7"/>
    </row>
    <row r="134" ht="15.75" customHeight="1">
      <c r="A134" s="3"/>
      <c r="B134" s="4"/>
      <c r="E134" s="7"/>
    </row>
    <row r="135" ht="15.75" customHeight="1">
      <c r="A135" s="3"/>
      <c r="B135" s="4"/>
      <c r="E135" s="7"/>
    </row>
    <row r="136" ht="15.75" customHeight="1">
      <c r="A136" s="3"/>
      <c r="B136" s="4"/>
      <c r="E136" s="7"/>
    </row>
    <row r="137" ht="15.75" customHeight="1">
      <c r="A137" s="3"/>
      <c r="B137" s="4"/>
      <c r="E137" s="7"/>
    </row>
    <row r="138" ht="15.75" customHeight="1">
      <c r="A138" s="3"/>
      <c r="B138" s="4"/>
      <c r="E138" s="7"/>
    </row>
    <row r="139" ht="15.75" customHeight="1">
      <c r="A139" s="3"/>
      <c r="B139" s="4"/>
      <c r="E139" s="7"/>
    </row>
    <row r="140" ht="15.75" customHeight="1">
      <c r="A140" s="3"/>
      <c r="B140" s="4"/>
      <c r="E140" s="7"/>
    </row>
    <row r="141" ht="15.75" customHeight="1">
      <c r="A141" s="3"/>
      <c r="B141" s="4"/>
      <c r="E141" s="7"/>
    </row>
    <row r="142" ht="15.75" customHeight="1">
      <c r="A142" s="3"/>
      <c r="B142" s="4"/>
      <c r="E142" s="7"/>
    </row>
    <row r="143" ht="15.75" customHeight="1">
      <c r="A143" s="3"/>
      <c r="B143" s="4"/>
      <c r="E143" s="7"/>
    </row>
    <row r="144" ht="15.75" customHeight="1">
      <c r="A144" s="3"/>
      <c r="B144" s="4"/>
      <c r="E144" s="7"/>
    </row>
    <row r="145" ht="15.75" customHeight="1">
      <c r="A145" s="3"/>
      <c r="B145" s="4"/>
      <c r="E145" s="7"/>
    </row>
    <row r="146" ht="15.75" customHeight="1">
      <c r="A146" s="3"/>
      <c r="B146" s="4"/>
      <c r="E146" s="7"/>
    </row>
    <row r="147" ht="15.75" customHeight="1">
      <c r="A147" s="3"/>
      <c r="B147" s="4"/>
      <c r="E147" s="7"/>
    </row>
    <row r="148" ht="15.75" customHeight="1">
      <c r="A148" s="3"/>
      <c r="B148" s="4"/>
      <c r="E148" s="7"/>
    </row>
    <row r="149" ht="15.75" customHeight="1">
      <c r="A149" s="3"/>
      <c r="B149" s="4"/>
      <c r="E149" s="7"/>
    </row>
    <row r="150" ht="15.75" customHeight="1">
      <c r="A150" s="3"/>
      <c r="B150" s="4"/>
      <c r="E150" s="7"/>
    </row>
    <row r="151" ht="15.75" customHeight="1">
      <c r="A151" s="3"/>
      <c r="B151" s="4"/>
      <c r="E151" s="7"/>
    </row>
    <row r="152" ht="15.75" customHeight="1">
      <c r="A152" s="3"/>
      <c r="B152" s="4"/>
      <c r="E152" s="7"/>
    </row>
    <row r="153" ht="15.75" customHeight="1">
      <c r="A153" s="3"/>
      <c r="B153" s="4"/>
      <c r="E153" s="7"/>
    </row>
    <row r="154" ht="15.75" customHeight="1">
      <c r="A154" s="3"/>
      <c r="B154" s="4"/>
      <c r="E154" s="7"/>
    </row>
    <row r="155" ht="15.75" customHeight="1">
      <c r="A155" s="3"/>
      <c r="B155" s="4"/>
      <c r="E155" s="7"/>
    </row>
    <row r="156" ht="15.75" customHeight="1">
      <c r="A156" s="3"/>
      <c r="B156" s="4"/>
      <c r="E156" s="7"/>
    </row>
    <row r="157" ht="15.75" customHeight="1">
      <c r="A157" s="3"/>
      <c r="B157" s="4"/>
      <c r="E157" s="7"/>
    </row>
    <row r="158" ht="15.75" customHeight="1">
      <c r="A158" s="3"/>
      <c r="B158" s="4"/>
      <c r="E158" s="7"/>
    </row>
    <row r="159" ht="15.75" customHeight="1">
      <c r="A159" s="3"/>
      <c r="B159" s="4"/>
      <c r="E159" s="7"/>
    </row>
    <row r="160" ht="15.75" customHeight="1">
      <c r="A160" s="3"/>
      <c r="B160" s="4"/>
      <c r="E160" s="7"/>
    </row>
    <row r="161" ht="15.75" customHeight="1">
      <c r="A161" s="3"/>
      <c r="B161" s="4"/>
      <c r="E161" s="7"/>
    </row>
    <row r="162" ht="15.75" customHeight="1">
      <c r="A162" s="3"/>
      <c r="B162" s="4"/>
      <c r="E162" s="7"/>
    </row>
    <row r="163" ht="15.75" customHeight="1">
      <c r="A163" s="3"/>
      <c r="B163" s="4"/>
      <c r="E163" s="7"/>
    </row>
    <row r="164" ht="15.75" customHeight="1">
      <c r="A164" s="3"/>
      <c r="B164" s="4"/>
      <c r="E164" s="7"/>
    </row>
    <row r="165" ht="15.75" customHeight="1">
      <c r="A165" s="3"/>
      <c r="B165" s="4"/>
      <c r="E165" s="7"/>
    </row>
    <row r="166" ht="15.75" customHeight="1">
      <c r="A166" s="3"/>
      <c r="B166" s="4"/>
      <c r="E166" s="7"/>
    </row>
    <row r="167" ht="15.75" customHeight="1">
      <c r="A167" s="3"/>
      <c r="B167" s="4"/>
      <c r="E167" s="7"/>
    </row>
    <row r="168" ht="15.75" customHeight="1">
      <c r="A168" s="3"/>
      <c r="B168" s="4"/>
      <c r="E168" s="7"/>
    </row>
    <row r="169" ht="15.75" customHeight="1">
      <c r="A169" s="3"/>
      <c r="B169" s="4"/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0</v>
      </c>
      <c r="I1" s="8" t="s">
        <v>12</v>
      </c>
    </row>
    <row r="2">
      <c r="A2" s="9" t="s">
        <v>13</v>
      </c>
      <c r="B2" s="9">
        <v>1.0</v>
      </c>
      <c r="C2" s="9">
        <v>1000.0</v>
      </c>
      <c r="D2" s="9">
        <v>1000.0</v>
      </c>
      <c r="E2" s="9">
        <v>1000.0</v>
      </c>
      <c r="F2" s="9">
        <v>0.0</v>
      </c>
      <c r="G2" s="9">
        <v>0.0</v>
      </c>
      <c r="H2" s="9" t="s">
        <v>14</v>
      </c>
      <c r="I2" s="9">
        <v>2026.0</v>
      </c>
    </row>
    <row r="3">
      <c r="A3" s="9" t="s">
        <v>15</v>
      </c>
      <c r="B3" s="9">
        <v>2.0</v>
      </c>
      <c r="C3" s="9">
        <v>1000.0</v>
      </c>
      <c r="D3" s="9">
        <v>2000.0</v>
      </c>
      <c r="E3" s="9">
        <v>2004.668205511359</v>
      </c>
      <c r="F3" s="9">
        <v>4.668205511358792</v>
      </c>
      <c r="G3" s="9">
        <v>0.2334102755679396</v>
      </c>
      <c r="H3" s="9" t="s">
        <v>14</v>
      </c>
      <c r="I3" s="9">
        <v>2026.0</v>
      </c>
    </row>
    <row r="4">
      <c r="A4" s="9" t="s">
        <v>16</v>
      </c>
      <c r="B4" s="9">
        <v>3.0</v>
      </c>
      <c r="C4" s="9">
        <v>1000.0</v>
      </c>
      <c r="D4" s="9">
        <v>3000.0</v>
      </c>
      <c r="E4" s="9">
        <v>3014.026408676772</v>
      </c>
      <c r="F4" s="9">
        <v>14.02640867677246</v>
      </c>
      <c r="G4" s="9">
        <v>0.4675469558924154</v>
      </c>
      <c r="H4" s="9" t="s">
        <v>14</v>
      </c>
      <c r="I4" s="9">
        <v>2026.0</v>
      </c>
    </row>
    <row r="5">
      <c r="A5" s="9" t="s">
        <v>17</v>
      </c>
      <c r="B5" s="9">
        <v>4.0</v>
      </c>
      <c r="C5" s="9">
        <v>1000.0</v>
      </c>
      <c r="D5" s="9">
        <v>4000.0</v>
      </c>
      <c r="E5" s="9">
        <v>4028.096503369138</v>
      </c>
      <c r="F5" s="9">
        <v>28.09650336913819</v>
      </c>
      <c r="G5" s="9">
        <v>0.7024125842284548</v>
      </c>
      <c r="H5" s="9" t="s">
        <v>18</v>
      </c>
      <c r="I5" s="9">
        <v>2026.0</v>
      </c>
    </row>
    <row r="6">
      <c r="A6" s="9" t="s">
        <v>19</v>
      </c>
      <c r="B6" s="9">
        <v>5.0</v>
      </c>
      <c r="C6" s="9">
        <v>1000.0</v>
      </c>
      <c r="D6" s="9">
        <v>5000.0</v>
      </c>
      <c r="E6" s="9">
        <v>5046.900485666451</v>
      </c>
      <c r="F6" s="9">
        <v>46.90048566645055</v>
      </c>
      <c r="G6" s="9">
        <v>0.9380097133290111</v>
      </c>
      <c r="H6" s="9" t="s">
        <v>20</v>
      </c>
      <c r="I6" s="9">
        <v>2026.0</v>
      </c>
    </row>
    <row r="7">
      <c r="A7" s="9" t="s">
        <v>21</v>
      </c>
      <c r="B7" s="9">
        <v>6.0</v>
      </c>
      <c r="C7" s="9">
        <v>1000.0</v>
      </c>
      <c r="D7" s="9">
        <v>6000.0</v>
      </c>
      <c r="E7" s="9">
        <v>6070.460454328918</v>
      </c>
      <c r="F7" s="9">
        <v>70.46045432891788</v>
      </c>
      <c r="G7" s="9">
        <v>1.174340905481965</v>
      </c>
      <c r="H7" s="9" t="s">
        <v>20</v>
      </c>
      <c r="I7" s="9">
        <v>2026.0</v>
      </c>
    </row>
    <row r="8">
      <c r="A8" s="9" t="s">
        <v>22</v>
      </c>
      <c r="B8" s="9">
        <v>7.0</v>
      </c>
      <c r="C8" s="9">
        <v>1000.0</v>
      </c>
      <c r="D8" s="9">
        <v>7000.0</v>
      </c>
      <c r="E8" s="9">
        <v>7098.798611278301</v>
      </c>
      <c r="F8" s="9">
        <v>98.798611278301</v>
      </c>
      <c r="G8" s="9">
        <v>1.411408732547157</v>
      </c>
      <c r="H8" s="9" t="s">
        <v>23</v>
      </c>
      <c r="I8" s="9">
        <v>2026.0</v>
      </c>
    </row>
    <row r="9">
      <c r="A9" s="9" t="s">
        <v>24</v>
      </c>
      <c r="B9" s="9">
        <v>8.0</v>
      </c>
      <c r="C9" s="9">
        <v>1000.0</v>
      </c>
      <c r="D9" s="9">
        <v>8000.0</v>
      </c>
      <c r="E9" s="9">
        <v>8131.937262079496</v>
      </c>
      <c r="F9" s="9">
        <v>131.9372620794957</v>
      </c>
      <c r="G9" s="9">
        <v>1.649215775993696</v>
      </c>
      <c r="H9" s="9" t="s">
        <v>23</v>
      </c>
      <c r="I9" s="9">
        <v>2026.0</v>
      </c>
    </row>
    <row r="10">
      <c r="A10" s="9" t="s">
        <v>25</v>
      </c>
      <c r="B10" s="9">
        <v>9.0</v>
      </c>
      <c r="C10" s="9">
        <v>1000.0</v>
      </c>
      <c r="D10" s="9">
        <v>9000.0</v>
      </c>
      <c r="E10" s="9">
        <v>9169.898816424358</v>
      </c>
      <c r="F10" s="9">
        <v>169.8988164243583</v>
      </c>
      <c r="G10" s="9">
        <v>1.887764626937314</v>
      </c>
      <c r="H10" s="9" t="s">
        <v>26</v>
      </c>
      <c r="I10" s="9">
        <v>2026.0</v>
      </c>
    </row>
    <row r="11">
      <c r="A11" s="9" t="s">
        <v>27</v>
      </c>
      <c r="B11" s="9">
        <v>10.0</v>
      </c>
      <c r="C11" s="9">
        <v>1000.0</v>
      </c>
      <c r="D11" s="9">
        <v>10000.0</v>
      </c>
      <c r="E11" s="9">
        <v>10212.70578861779</v>
      </c>
      <c r="F11" s="9">
        <v>212.7057886177918</v>
      </c>
      <c r="G11" s="9">
        <v>2.127057886177918</v>
      </c>
      <c r="H11" s="9" t="s">
        <v>26</v>
      </c>
      <c r="I11" s="9">
        <v>2026.0</v>
      </c>
    </row>
    <row r="12">
      <c r="A12" s="9" t="s">
        <v>28</v>
      </c>
      <c r="B12" s="9">
        <v>11.0</v>
      </c>
      <c r="C12" s="9">
        <v>1000.0</v>
      </c>
      <c r="D12" s="9">
        <v>11000.0</v>
      </c>
      <c r="E12" s="9">
        <v>11260.3807980661</v>
      </c>
      <c r="F12" s="9">
        <v>260.3807980661022</v>
      </c>
      <c r="G12" s="9">
        <v>2.367098164237293</v>
      </c>
      <c r="H12" s="9" t="s">
        <v>26</v>
      </c>
      <c r="I12" s="9">
        <v>2026.0</v>
      </c>
    </row>
    <row r="13">
      <c r="A13" s="9" t="s">
        <v>29</v>
      </c>
      <c r="B13" s="9">
        <v>12.0</v>
      </c>
      <c r="C13" s="9">
        <v>1000.0</v>
      </c>
      <c r="D13" s="9">
        <v>12000.0</v>
      </c>
      <c r="E13" s="9">
        <v>12312.94656976763</v>
      </c>
      <c r="F13" s="9">
        <v>312.9465697676314</v>
      </c>
      <c r="G13" s="9">
        <v>2.607888081396929</v>
      </c>
      <c r="H13" s="9" t="s">
        <v>30</v>
      </c>
      <c r="I13" s="9">
        <v>2026.0</v>
      </c>
    </row>
    <row r="14">
      <c r="A14" s="9" t="s">
        <v>31</v>
      </c>
      <c r="B14" s="9">
        <v>13.0</v>
      </c>
      <c r="C14" s="9">
        <v>1000.0</v>
      </c>
      <c r="D14" s="9">
        <v>13000.0</v>
      </c>
      <c r="E14" s="9">
        <v>13370.42593480569</v>
      </c>
      <c r="F14" s="9">
        <v>370.4259348056858</v>
      </c>
      <c r="G14" s="9">
        <v>2.849430267736044</v>
      </c>
      <c r="H14" s="9" t="s">
        <v>30</v>
      </c>
      <c r="I14" s="9">
        <v>2026.0</v>
      </c>
    </row>
    <row r="15">
      <c r="A15" s="9" t="s">
        <v>32</v>
      </c>
      <c r="B15" s="9">
        <v>14.0</v>
      </c>
      <c r="C15" s="9">
        <v>1000.0</v>
      </c>
      <c r="D15" s="9">
        <v>14000.0</v>
      </c>
      <c r="E15" s="9">
        <v>14432.84183084376</v>
      </c>
      <c r="F15" s="9">
        <v>432.8418308437595</v>
      </c>
      <c r="G15" s="9">
        <v>3.09172736316971</v>
      </c>
      <c r="H15" s="9" t="s">
        <v>33</v>
      </c>
      <c r="I15" s="9">
        <v>2026.0</v>
      </c>
    </row>
    <row r="16">
      <c r="A16" s="9" t="s">
        <v>34</v>
      </c>
      <c r="B16" s="9">
        <v>15.0</v>
      </c>
      <c r="C16" s="9">
        <v>1000.0</v>
      </c>
      <c r="D16" s="9">
        <v>15000.0</v>
      </c>
      <c r="E16" s="9">
        <v>15500.21730262307</v>
      </c>
      <c r="F16" s="9">
        <v>500.2173026230721</v>
      </c>
      <c r="G16" s="9">
        <v>3.334782017487147</v>
      </c>
      <c r="H16" s="9" t="s">
        <v>33</v>
      </c>
      <c r="I16" s="9">
        <v>2026.0</v>
      </c>
    </row>
    <row r="17">
      <c r="A17" s="9" t="s">
        <v>35</v>
      </c>
      <c r="B17" s="9">
        <v>16.0</v>
      </c>
      <c r="C17" s="9">
        <v>1000.0</v>
      </c>
      <c r="D17" s="9">
        <v>16000.0</v>
      </c>
      <c r="E17" s="9">
        <v>16572.57550246243</v>
      </c>
      <c r="F17" s="9">
        <v>572.5755024624341</v>
      </c>
      <c r="G17" s="9">
        <v>3.578596890390213</v>
      </c>
      <c r="H17" s="9" t="s">
        <v>36</v>
      </c>
      <c r="I17" s="9">
        <v>2026.0</v>
      </c>
    </row>
    <row r="18">
      <c r="A18" s="9" t="s">
        <v>37</v>
      </c>
      <c r="B18" s="9">
        <v>17.0</v>
      </c>
      <c r="C18" s="9">
        <v>1000.0</v>
      </c>
      <c r="D18" s="9">
        <v>17000.0</v>
      </c>
      <c r="E18" s="9">
        <v>17649.93969076044</v>
      </c>
      <c r="F18" s="9">
        <v>649.9396907604387</v>
      </c>
      <c r="G18" s="9">
        <v>3.823174651531992</v>
      </c>
      <c r="H18" s="9" t="s">
        <v>36</v>
      </c>
      <c r="I18" s="9">
        <v>2026.0</v>
      </c>
    </row>
    <row r="19">
      <c r="A19" s="9" t="s">
        <v>38</v>
      </c>
      <c r="B19" s="9">
        <v>18.0</v>
      </c>
      <c r="C19" s="9">
        <v>1000.0</v>
      </c>
      <c r="D19" s="9">
        <v>18000.0</v>
      </c>
      <c r="E19" s="9">
        <v>18732.3332365</v>
      </c>
      <c r="F19" s="9">
        <v>732.3332364999951</v>
      </c>
      <c r="G19" s="9">
        <v>4.068517980555528</v>
      </c>
      <c r="H19" s="9" t="s">
        <v>39</v>
      </c>
      <c r="I19" s="9">
        <v>2026.0</v>
      </c>
    </row>
    <row r="20">
      <c r="A20" s="9" t="s">
        <v>40</v>
      </c>
      <c r="B20" s="9">
        <v>19.0</v>
      </c>
      <c r="C20" s="9">
        <v>1000.0</v>
      </c>
      <c r="D20" s="9">
        <v>19000.0</v>
      </c>
      <c r="E20" s="9">
        <v>19819.77961775523</v>
      </c>
      <c r="F20" s="9">
        <v>819.7796177552336</v>
      </c>
      <c r="G20" s="9">
        <v>4.314629567132808</v>
      </c>
      <c r="H20" s="9" t="s">
        <v>39</v>
      </c>
      <c r="I20" s="9">
        <v>2026.0</v>
      </c>
    </row>
    <row r="21" ht="15.75" customHeight="1">
      <c r="A21" s="9" t="s">
        <v>41</v>
      </c>
      <c r="B21" s="9">
        <v>20.0</v>
      </c>
      <c r="C21" s="9">
        <v>1000.0</v>
      </c>
      <c r="D21" s="9">
        <v>20000.0</v>
      </c>
      <c r="E21" s="9">
        <v>20912.30242220076</v>
      </c>
      <c r="F21" s="9">
        <v>912.3024222007552</v>
      </c>
      <c r="G21" s="9">
        <v>4.561512111003776</v>
      </c>
      <c r="H21" s="9" t="s">
        <v>42</v>
      </c>
      <c r="I21" s="9">
        <v>2026.0</v>
      </c>
    </row>
    <row r="22" ht="15.75" customHeight="1">
      <c r="A22" s="9" t="s">
        <v>43</v>
      </c>
      <c r="B22" s="9">
        <v>21.0</v>
      </c>
      <c r="C22" s="9">
        <v>1000.0</v>
      </c>
      <c r="D22" s="9">
        <v>21000.0</v>
      </c>
      <c r="E22" s="9">
        <v>22009.92534762327</v>
      </c>
      <c r="F22" s="9">
        <v>1009.925347623273</v>
      </c>
      <c r="G22" s="9">
        <v>4.809168322015587</v>
      </c>
      <c r="H22" s="9" t="s">
        <v>42</v>
      </c>
      <c r="I22" s="9">
        <v>2026.0</v>
      </c>
    </row>
    <row r="23" ht="15.75" customHeight="1">
      <c r="A23" s="9" t="s">
        <v>44</v>
      </c>
      <c r="B23" s="9">
        <v>22.0</v>
      </c>
      <c r="C23" s="9">
        <v>1000.0</v>
      </c>
      <c r="D23" s="9">
        <v>22000.0</v>
      </c>
      <c r="E23" s="9">
        <v>23112.67220243564</v>
      </c>
      <c r="F23" s="9">
        <v>1112.672202435642</v>
      </c>
      <c r="G23" s="9">
        <v>5.05760092016201</v>
      </c>
      <c r="H23" s="9" t="s">
        <v>45</v>
      </c>
      <c r="I23" s="9">
        <v>2026.0</v>
      </c>
    </row>
    <row r="24" ht="15.75" customHeight="1">
      <c r="A24" s="9" t="s">
        <v>46</v>
      </c>
      <c r="B24" s="9">
        <v>23.0</v>
      </c>
      <c r="C24" s="9">
        <v>1000.0</v>
      </c>
      <c r="D24" s="9">
        <v>23000.0</v>
      </c>
      <c r="E24" s="9">
        <v>24220.56690619328</v>
      </c>
      <c r="F24" s="9">
        <v>1220.566906193279</v>
      </c>
      <c r="G24" s="9">
        <v>5.306812635622951</v>
      </c>
      <c r="H24" s="9" t="s">
        <v>45</v>
      </c>
      <c r="I24" s="9">
        <v>2026.0</v>
      </c>
    </row>
    <row r="25" ht="15.75" customHeight="1">
      <c r="A25" s="9" t="s">
        <v>47</v>
      </c>
      <c r="B25" s="9">
        <v>24.0</v>
      </c>
      <c r="C25" s="9">
        <v>1000.0</v>
      </c>
      <c r="D25" s="9">
        <v>24000.0</v>
      </c>
      <c r="E25" s="9">
        <v>25333.633490113</v>
      </c>
      <c r="F25" s="9">
        <v>1333.633490113003</v>
      </c>
      <c r="G25" s="9">
        <v>5.55680620880418</v>
      </c>
      <c r="H25" s="9" t="s">
        <v>48</v>
      </c>
      <c r="I25" s="9">
        <v>2026.0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49</v>
      </c>
      <c r="B1" s="8" t="s">
        <v>50</v>
      </c>
      <c r="C1" s="8" t="s">
        <v>51</v>
      </c>
      <c r="D1" s="8" t="s">
        <v>52</v>
      </c>
      <c r="E1" s="8" t="s">
        <v>53</v>
      </c>
    </row>
    <row r="2">
      <c r="A2" s="9" t="s">
        <v>54</v>
      </c>
      <c r="B2" s="9" t="s">
        <v>55</v>
      </c>
      <c r="C2" s="9" t="s">
        <v>56</v>
      </c>
      <c r="D2" s="9" t="s">
        <v>57</v>
      </c>
      <c r="E2" s="9" t="s">
        <v>58</v>
      </c>
    </row>
    <row r="3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</row>
    <row r="4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</row>
    <row r="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</row>
    <row r="6">
      <c r="A6" s="9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0</v>
      </c>
      <c r="B1" s="8" t="s">
        <v>79</v>
      </c>
      <c r="C1" s="8" t="s">
        <v>8</v>
      </c>
      <c r="D1" s="8" t="s">
        <v>9</v>
      </c>
      <c r="E1" s="8" t="s">
        <v>10</v>
      </c>
      <c r="F1" s="8" t="s">
        <v>11</v>
      </c>
    </row>
    <row r="2">
      <c r="A2" s="9" t="s">
        <v>14</v>
      </c>
      <c r="B2" s="9">
        <v>3000.0</v>
      </c>
      <c r="C2" s="9">
        <v>3000.0</v>
      </c>
      <c r="D2" s="9">
        <v>3014.026408676772</v>
      </c>
      <c r="E2" s="9">
        <v>14.02640867677246</v>
      </c>
      <c r="F2" s="9">
        <v>0.4675469558924154</v>
      </c>
    </row>
    <row r="3">
      <c r="A3" s="9" t="s">
        <v>18</v>
      </c>
      <c r="B3" s="9">
        <v>1000.0</v>
      </c>
      <c r="C3" s="9">
        <v>4000.0</v>
      </c>
      <c r="D3" s="9">
        <v>4028.096503369138</v>
      </c>
      <c r="E3" s="9">
        <v>28.09650336913819</v>
      </c>
      <c r="F3" s="9">
        <v>0.7024125842284548</v>
      </c>
    </row>
    <row r="4">
      <c r="A4" s="9" t="s">
        <v>20</v>
      </c>
      <c r="B4" s="9">
        <v>2000.0</v>
      </c>
      <c r="C4" s="9">
        <v>6000.0</v>
      </c>
      <c r="D4" s="9">
        <v>6070.460454328918</v>
      </c>
      <c r="E4" s="9">
        <v>70.46045432891788</v>
      </c>
      <c r="F4" s="9">
        <v>1.174340905481965</v>
      </c>
    </row>
    <row r="5">
      <c r="A5" s="9" t="s">
        <v>23</v>
      </c>
      <c r="B5" s="9">
        <v>2000.0</v>
      </c>
      <c r="C5" s="9">
        <v>8000.0</v>
      </c>
      <c r="D5" s="9">
        <v>8131.937262079496</v>
      </c>
      <c r="E5" s="9">
        <v>131.9372620794957</v>
      </c>
      <c r="F5" s="9">
        <v>1.649215775993696</v>
      </c>
    </row>
    <row r="6">
      <c r="A6" s="9" t="s">
        <v>26</v>
      </c>
      <c r="B6" s="9">
        <v>3000.0</v>
      </c>
      <c r="C6" s="9">
        <v>11000.0</v>
      </c>
      <c r="D6" s="9">
        <v>11260.3807980661</v>
      </c>
      <c r="E6" s="9">
        <v>260.3807980661022</v>
      </c>
      <c r="F6" s="9">
        <v>2.367098164237293</v>
      </c>
    </row>
    <row r="7">
      <c r="A7" s="9" t="s">
        <v>30</v>
      </c>
      <c r="B7" s="9">
        <v>2000.0</v>
      </c>
      <c r="C7" s="9">
        <v>13000.0</v>
      </c>
      <c r="D7" s="9">
        <v>13370.42593480569</v>
      </c>
      <c r="E7" s="9">
        <v>370.4259348056858</v>
      </c>
      <c r="F7" s="9">
        <v>2.849430267736044</v>
      </c>
    </row>
    <row r="8">
      <c r="A8" s="9" t="s">
        <v>33</v>
      </c>
      <c r="B8" s="9">
        <v>2000.0</v>
      </c>
      <c r="C8" s="9">
        <v>15000.0</v>
      </c>
      <c r="D8" s="9">
        <v>15500.21730262307</v>
      </c>
      <c r="E8" s="9">
        <v>500.2173026230721</v>
      </c>
      <c r="F8" s="9">
        <v>3.334782017487147</v>
      </c>
    </row>
    <row r="9">
      <c r="A9" s="9" t="s">
        <v>36</v>
      </c>
      <c r="B9" s="9">
        <v>2000.0</v>
      </c>
      <c r="C9" s="9">
        <v>17000.0</v>
      </c>
      <c r="D9" s="9">
        <v>17649.93969076044</v>
      </c>
      <c r="E9" s="9">
        <v>649.9396907604387</v>
      </c>
      <c r="F9" s="9">
        <v>3.823174651531992</v>
      </c>
    </row>
    <row r="10">
      <c r="A10" s="9" t="s">
        <v>39</v>
      </c>
      <c r="B10" s="9">
        <v>2000.0</v>
      </c>
      <c r="C10" s="9">
        <v>19000.0</v>
      </c>
      <c r="D10" s="9">
        <v>19819.77961775523</v>
      </c>
      <c r="E10" s="9">
        <v>819.7796177552336</v>
      </c>
      <c r="F10" s="9">
        <v>4.314629567132808</v>
      </c>
    </row>
    <row r="11">
      <c r="A11" s="9" t="s">
        <v>42</v>
      </c>
      <c r="B11" s="9">
        <v>2000.0</v>
      </c>
      <c r="C11" s="9">
        <v>21000.0</v>
      </c>
      <c r="D11" s="9">
        <v>22009.92534762327</v>
      </c>
      <c r="E11" s="9">
        <v>1009.925347623273</v>
      </c>
      <c r="F11" s="9">
        <v>4.809168322015587</v>
      </c>
    </row>
    <row r="12">
      <c r="A12" s="9" t="s">
        <v>45</v>
      </c>
      <c r="B12" s="9">
        <v>2000.0</v>
      </c>
      <c r="C12" s="9">
        <v>23000.0</v>
      </c>
      <c r="D12" s="9">
        <v>24220.56690619328</v>
      </c>
      <c r="E12" s="9">
        <v>1220.566906193279</v>
      </c>
      <c r="F12" s="9">
        <v>5.306812635622951</v>
      </c>
    </row>
    <row r="13">
      <c r="A13" s="9" t="s">
        <v>48</v>
      </c>
      <c r="B13" s="9">
        <v>1000.0</v>
      </c>
      <c r="C13" s="9">
        <v>24000.0</v>
      </c>
      <c r="D13" s="9">
        <v>25333.633490113</v>
      </c>
      <c r="E13" s="9">
        <v>1333.633490113003</v>
      </c>
      <c r="F13" s="9">
        <v>5.55680620880418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12</v>
      </c>
      <c r="B1" s="8" t="s">
        <v>80</v>
      </c>
      <c r="C1" s="8" t="s">
        <v>8</v>
      </c>
      <c r="D1" s="8" t="s">
        <v>81</v>
      </c>
      <c r="E1" s="8" t="s">
        <v>82</v>
      </c>
      <c r="F1" s="8" t="s">
        <v>11</v>
      </c>
    </row>
    <row r="2">
      <c r="A2" s="9">
        <v>2026.0</v>
      </c>
      <c r="B2" s="9">
        <v>24000.0</v>
      </c>
      <c r="C2" s="9">
        <v>24000.0</v>
      </c>
      <c r="D2" s="9">
        <v>25333.633490113</v>
      </c>
      <c r="E2" s="9">
        <v>1333.633490113003</v>
      </c>
      <c r="F2" s="9">
        <v>5.55680620880418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83</v>
      </c>
      <c r="B1" s="8" t="s">
        <v>84</v>
      </c>
    </row>
    <row r="2">
      <c r="A2" s="9" t="s">
        <v>85</v>
      </c>
      <c r="B2" s="9" t="s">
        <v>86</v>
      </c>
    </row>
    <row r="3">
      <c r="A3" s="9" t="s">
        <v>87</v>
      </c>
      <c r="B3" s="9" t="s">
        <v>88</v>
      </c>
    </row>
    <row r="4">
      <c r="A4" s="9" t="s">
        <v>89</v>
      </c>
      <c r="B4" s="9" t="s">
        <v>90</v>
      </c>
    </row>
    <row r="5">
      <c r="A5" s="9" t="s">
        <v>91</v>
      </c>
      <c r="B5" s="9" t="s">
        <v>92</v>
      </c>
    </row>
    <row r="6">
      <c r="A6" s="9" t="s">
        <v>93</v>
      </c>
      <c r="B6" s="9" t="s">
        <v>94</v>
      </c>
    </row>
    <row r="7">
      <c r="A7" s="9" t="s">
        <v>95</v>
      </c>
      <c r="B7" s="9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